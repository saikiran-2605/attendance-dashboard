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933E57695104488/projects for githb/"/>
    </mc:Choice>
  </mc:AlternateContent>
  <xr:revisionPtr revIDLastSave="0" documentId="8_{213BCAB8-8FC8-44E0-8099-3B542214C13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4" sheetId="4" r:id="rId1"/>
    <sheet name="Sheet1" sheetId="1" r:id="rId2"/>
    <sheet name="Dashboard" sheetId="7" r:id="rId3"/>
    <sheet name="Summary" sheetId="2" r:id="rId4"/>
  </sheet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2" l="1"/>
  <c r="B2" i="2"/>
  <c r="B3" i="2"/>
  <c r="B4" i="2" l="1"/>
  <c r="B5" i="2" s="1"/>
</calcChain>
</file>

<file path=xl/sharedStrings.xml><?xml version="1.0" encoding="utf-8"?>
<sst xmlns="http://schemas.openxmlformats.org/spreadsheetml/2006/main" count="110" uniqueCount="18">
  <si>
    <t>Student</t>
  </si>
  <si>
    <t>Date</t>
  </si>
  <si>
    <t>Present</t>
  </si>
  <si>
    <t>A</t>
  </si>
  <si>
    <t>B</t>
  </si>
  <si>
    <t>C</t>
  </si>
  <si>
    <t>D</t>
  </si>
  <si>
    <t>E</t>
  </si>
  <si>
    <t>P</t>
  </si>
  <si>
    <t>Total Days</t>
  </si>
  <si>
    <t>Total Present</t>
  </si>
  <si>
    <t>Total Absent</t>
  </si>
  <si>
    <t>Attendance %</t>
  </si>
  <si>
    <t>Status</t>
  </si>
  <si>
    <t>Row Labels</t>
  </si>
  <si>
    <t>Grand Total</t>
  </si>
  <si>
    <t>Count of Present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</si>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</sst>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3" xfId="0" applyFont="1" applyFill="1" applyBorder="1"/>
    <xf numFmtId="0" fontId="0" fillId="3" borderId="3" xfId="0" applyFont="1" applyFill="1" applyBorder="1"/>
    <xf numFmtId="0" fontId="0" fillId="3" borderId="5" xfId="0" applyFont="1" applyFill="1" applyBorder="1"/>
    <xf numFmtId="14" fontId="0" fillId="0" borderId="0" xfId="0" applyNumberFormat="1"/>
    <xf numFmtId="14" fontId="0" fillId="2" borderId="2" xfId="0" applyNumberFormat="1" applyFont="1" applyFill="1" applyBorder="1"/>
    <xf numFmtId="14" fontId="0" fillId="3" borderId="2" xfId="0" applyNumberFormat="1" applyFont="1" applyFill="1" applyBorder="1"/>
    <xf numFmtId="14" fontId="0" fillId="3" borderId="4" xfId="0" applyNumberFormat="1" applyFont="1" applyFill="1" applyBorder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FF0000"/>
          <bgColor rgb="FFFF0000"/>
        </patternFill>
      </fill>
    </dxf>
    <dxf>
      <font>
        <color theme="1"/>
      </font>
      <fill>
        <patternFill>
          <fgColor rgb="FF00B050"/>
          <bgColor rgb="FF00B050"/>
        </patternFill>
      </fill>
    </dxf>
    <dxf>
      <fill>
        <patternFill>
          <bgColor rgb="FFFF0000"/>
        </patternFill>
      </fill>
    </dxf>
    <dxf/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[attendance_dataset.xlsx]Sheet4!PivotTable2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Clustered Chart – A vs P per Student </a:t>
            </a:r>
          </a:p>
        </c:rich>
      </c:tx>
      <c:layout>
        <c:manualLayout>
          <c:xMode val="edge"/>
          <c:yMode val="edge"/>
          <c:x val="0.26293294220575369"/>
          <c:y val="0.102919898757083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0160568164273585E-2"/>
          <c:y val="0.24160241485416106"/>
          <c:w val="0.73395707889454997"/>
          <c:h val="0.634683888882388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Sheet4!$A$5:$A$10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Sheet4!$B$5:$B$10</c:f>
              <c:numCache>
                <c:formatCode>General</c:formatCode>
                <c:ptCount val="5"/>
                <c:pt idx="1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9-44CA-86AF-4E850D729853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P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Sheet4!$A$5:$A$10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Sheet4!$C$5:$C$10</c:f>
              <c:numCache>
                <c:formatCode>General</c:formatCode>
                <c:ptCount val="5"/>
                <c:pt idx="0">
                  <c:v>6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C9-44CA-86AF-4E850D7298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5329055"/>
        <c:axId val="115333855"/>
      </c:barChart>
      <c:catAx>
        <c:axId val="11532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33855"/>
        <c:crosses val="autoZero"/>
        <c:auto val="1"/>
        <c:lblAlgn val="ctr"/>
        <c:lblOffset val="100"/>
        <c:noMultiLvlLbl val="0"/>
      </c:catAx>
      <c:valAx>
        <c:axId val="11533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02614379084967"/>
          <c:y val="0.42005982535986863"/>
          <c:w val="0.14705882352941177"/>
          <c:h val="0.239127111339908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594360</xdr:colOff>
      <xdr:row>14</xdr:row>
      <xdr:rowOff>60960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AF315C-3F90-976E-8A7C-49E193692F15}"/>
            </a:ext>
          </a:extLst>
        </xdr:cNvPr>
        <xdr:cNvSpPr txBox="1"/>
      </xdr:nvSpPr>
      <xdr:spPr>
        <a:xfrm>
          <a:off x="9128760" y="26212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0</xdr:colOff>
      <xdr:row>0</xdr:row>
      <xdr:rowOff>53340</xdr:rowOff>
    </xdr:from>
    <xdr:to>
      <xdr:col>23</xdr:col>
      <xdr:colOff>350520</xdr:colOff>
      <xdr:row>30</xdr:row>
      <xdr:rowOff>129540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4F4EC04F-F182-3A03-5185-2668A7E0669B}"/>
            </a:ext>
          </a:extLst>
        </xdr:cNvPr>
        <xdr:cNvSpPr/>
      </xdr:nvSpPr>
      <xdr:spPr>
        <a:xfrm>
          <a:off x="0" y="53340"/>
          <a:ext cx="14371320" cy="6187440"/>
        </a:xfrm>
        <a:prstGeom prst="roundRect">
          <a:avLst>
            <a:gd name="adj" fmla="val 0"/>
          </a:avLst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7</xdr:row>
      <xdr:rowOff>60960</xdr:rowOff>
    </xdr:from>
    <xdr:to>
      <xdr:col>4</xdr:col>
      <xdr:colOff>60960</xdr:colOff>
      <xdr:row>9</xdr:row>
      <xdr:rowOff>68580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6560F52-82CF-9AC8-CF59-613D4D1881C9}"/>
            </a:ext>
          </a:extLst>
        </xdr:cNvPr>
        <xdr:cNvSpPr/>
      </xdr:nvSpPr>
      <xdr:spPr>
        <a:xfrm>
          <a:off x="0" y="1424940"/>
          <a:ext cx="2499360" cy="3733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latin typeface="+mn-lt"/>
            </a:rPr>
            <a:t>Overall Attendance %  = 60 %</a:t>
          </a:r>
        </a:p>
      </xdr:txBody>
    </xdr:sp>
    <xdr:clientData/>
  </xdr:twoCellAnchor>
  <xdr:twoCellAnchor>
    <xdr:from>
      <xdr:col>7</xdr:col>
      <xdr:colOff>137160</xdr:colOff>
      <xdr:row>0</xdr:row>
      <xdr:rowOff>30480</xdr:rowOff>
    </xdr:from>
    <xdr:to>
      <xdr:col>13</xdr:col>
      <xdr:colOff>556260</xdr:colOff>
      <xdr:row>2</xdr:row>
      <xdr:rowOff>198120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6671E99-D82B-E9CE-D347-DE00BF02C787}"/>
            </a:ext>
          </a:extLst>
        </xdr:cNvPr>
        <xdr:cNvSpPr/>
      </xdr:nvSpPr>
      <xdr:spPr>
        <a:xfrm>
          <a:off x="4404360" y="30480"/>
          <a:ext cx="4076700" cy="533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>
              <a:latin typeface="+mj-lt"/>
            </a:rPr>
            <a:t>Attendance Dashboard – Jan 2024</a:t>
          </a:r>
          <a:endParaRPr lang="en-IN" sz="1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j-lt"/>
          </a:endParaRPr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76200</xdr:colOff>
      <xdr:row>31</xdr:row>
      <xdr:rowOff>167640</xdr:rowOff>
    </xdr:to>
    <xdr:sp macro="" textlink="">
      <xdr:nvSpPr>
        <xdr:cNvPr id="6146" name="Text Box 2">
          <a:extLst>
            <a:ext uri="{FF2B5EF4-FFF2-40B4-BE49-F238E27FC236}">
              <a16:creationId xmlns:a16="http://schemas.microsoft.com/office/drawing/2014/main" id="{AEACAAC3-AE62-BAF8-6213-91BBEB81790E}"/>
            </a:ext>
          </a:extLst>
        </xdr:cNvPr>
        <xdr:cNvSpPr txBox="1">
          <a:spLocks noChangeArrowheads="1"/>
        </xdr:cNvSpPr>
      </xdr:nvSpPr>
      <xdr:spPr bwMode="auto">
        <a:xfrm flipV="1">
          <a:off x="12801600" y="5928360"/>
          <a:ext cx="685800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endParaRPr lang="en-IN" sz="11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0</xdr:colOff>
      <xdr:row>4</xdr:row>
      <xdr:rowOff>175260</xdr:rowOff>
    </xdr:from>
    <xdr:to>
      <xdr:col>4</xdr:col>
      <xdr:colOff>53340</xdr:colOff>
      <xdr:row>6</xdr:row>
      <xdr:rowOff>160020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6BDEBC8-C698-3B33-2523-4961E0951CD0}"/>
            </a:ext>
          </a:extLst>
        </xdr:cNvPr>
        <xdr:cNvSpPr/>
      </xdr:nvSpPr>
      <xdr:spPr>
        <a:xfrm>
          <a:off x="0" y="990600"/>
          <a:ext cx="2491740" cy="350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/>
            <a:t>Total Days =</a:t>
          </a:r>
          <a:r>
            <a:rPr lang="en-IN" sz="1400" b="1" baseline="0"/>
            <a:t> 30 Days </a:t>
          </a:r>
          <a:endParaRPr lang="en-IN" sz="1400" b="1"/>
        </a:p>
      </xdr:txBody>
    </xdr:sp>
    <xdr:clientData/>
  </xdr:twoCellAnchor>
  <xdr:twoCellAnchor>
    <xdr:from>
      <xdr:col>0</xdr:col>
      <xdr:colOff>0</xdr:colOff>
      <xdr:row>9</xdr:row>
      <xdr:rowOff>160020</xdr:rowOff>
    </xdr:from>
    <xdr:to>
      <xdr:col>4</xdr:col>
      <xdr:colOff>60960</xdr:colOff>
      <xdr:row>9</xdr:row>
      <xdr:rowOff>472440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0E62754-7A89-FCE7-242F-ACF726517D33}"/>
            </a:ext>
          </a:extLst>
        </xdr:cNvPr>
        <xdr:cNvSpPr/>
      </xdr:nvSpPr>
      <xdr:spPr>
        <a:xfrm>
          <a:off x="0" y="1889760"/>
          <a:ext cx="2499360" cy="3124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latin typeface="+mn-lt"/>
            </a:rPr>
            <a:t>Total Present = 18</a:t>
          </a:r>
        </a:p>
      </xdr:txBody>
    </xdr:sp>
    <xdr:clientData/>
  </xdr:twoCellAnchor>
  <xdr:twoCellAnchor>
    <xdr:from>
      <xdr:col>0</xdr:col>
      <xdr:colOff>0</xdr:colOff>
      <xdr:row>9</xdr:row>
      <xdr:rowOff>609600</xdr:rowOff>
    </xdr:from>
    <xdr:to>
      <xdr:col>4</xdr:col>
      <xdr:colOff>60960</xdr:colOff>
      <xdr:row>11</xdr:row>
      <xdr:rowOff>99060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B6D40AF-BEE2-DA6E-3904-F9ACF29F0569}"/>
            </a:ext>
          </a:extLst>
        </xdr:cNvPr>
        <xdr:cNvSpPr/>
      </xdr:nvSpPr>
      <xdr:spPr>
        <a:xfrm>
          <a:off x="0" y="2339340"/>
          <a:ext cx="2499360" cy="3962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/>
            <a:t>Total Absent = 12</a:t>
          </a:r>
        </a:p>
      </xdr:txBody>
    </xdr:sp>
    <xdr:clientData/>
  </xdr:twoCellAnchor>
  <xdr:twoCellAnchor>
    <xdr:from>
      <xdr:col>8</xdr:col>
      <xdr:colOff>167640</xdr:colOff>
      <xdr:row>7</xdr:row>
      <xdr:rowOff>53340</xdr:rowOff>
    </xdr:from>
    <xdr:to>
      <xdr:col>13</xdr:col>
      <xdr:colOff>381000</xdr:colOff>
      <xdr:row>9</xdr:row>
      <xdr:rowOff>510540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B34F2465-5399-70C5-98E5-694B810F50A3}"/>
            </a:ext>
          </a:extLst>
        </xdr:cNvPr>
        <xdr:cNvSpPr/>
      </xdr:nvSpPr>
      <xdr:spPr>
        <a:xfrm>
          <a:off x="5044440" y="1417320"/>
          <a:ext cx="3261360" cy="822960"/>
        </a:xfrm>
        <a:prstGeom prst="rect">
          <a:avLst/>
        </a:prstGeom>
        <a:gradFill flip="none" rotWithShape="1">
          <a:gsLst>
            <a:gs pos="0">
              <a:schemeClr val="tx2">
                <a:lumMod val="75000"/>
                <a:tint val="66000"/>
                <a:satMod val="160000"/>
              </a:schemeClr>
            </a:gs>
            <a:gs pos="50000">
              <a:schemeClr val="tx2">
                <a:lumMod val="75000"/>
                <a:tint val="44500"/>
                <a:satMod val="160000"/>
              </a:schemeClr>
            </a:gs>
            <a:gs pos="100000">
              <a:schemeClr val="tx2">
                <a:lumMod val="75000"/>
                <a:tint val="23500"/>
                <a:satMod val="160000"/>
              </a:schemeClr>
            </a:gs>
          </a:gsLst>
          <a:lin ang="2700000" scaled="1"/>
          <a:tileRect/>
        </a:gra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2">
                  <a:lumMod val="50000"/>
                </a:schemeClr>
              </a:solidFill>
            </a:rPr>
            <a:t>Overall Attendance % | 60%   </a:t>
          </a:r>
        </a:p>
        <a:p>
          <a:pPr algn="ctr"/>
          <a:r>
            <a:rPr lang="en-IN" sz="1400" b="1">
              <a:solidFill>
                <a:schemeClr val="tx2">
                  <a:lumMod val="50000"/>
                </a:schemeClr>
              </a:solidFill>
            </a:rPr>
            <a:t>Best Student| A / C / D (100%)</a:t>
          </a:r>
        </a:p>
        <a:p>
          <a:pPr algn="ctr"/>
          <a:r>
            <a:rPr lang="en-IN" sz="1400" b="1">
              <a:solidFill>
                <a:schemeClr val="tx2">
                  <a:lumMod val="50000"/>
                </a:schemeClr>
              </a:solidFill>
            </a:rPr>
            <a:t>Worst Student  | B / E (0%)  </a:t>
          </a:r>
        </a:p>
      </xdr:txBody>
    </xdr:sp>
    <xdr:clientData/>
  </xdr:twoCellAnchor>
  <xdr:twoCellAnchor>
    <xdr:from>
      <xdr:col>7</xdr:col>
      <xdr:colOff>556260</xdr:colOff>
      <xdr:row>11</xdr:row>
      <xdr:rowOff>129540</xdr:rowOff>
    </xdr:from>
    <xdr:to>
      <xdr:col>14</xdr:col>
      <xdr:colOff>175260</xdr:colOff>
      <xdr:row>25</xdr:row>
      <xdr:rowOff>133350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F7ED30A-7680-4E0C-A312-6F25BF0E34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91440</xdr:rowOff>
    </xdr:from>
    <xdr:to>
      <xdr:col>5</xdr:col>
      <xdr:colOff>579120</xdr:colOff>
      <xdr:row>21</xdr:row>
      <xdr:rowOff>68580</xdr:rowOff>
    </xdr:to>
    <xdr:sp macro="" textlink="">
      <xdr:nvSpPr>
        <xdr:cNvPr id="6144" name="TextBox 6143">
          <a:extLst>
            <a:ext uri="{FF2B5EF4-FFF2-40B4-BE49-F238E27FC236}">
              <a16:creationId xmlns:a16="http://schemas.microsoft.com/office/drawing/2014/main" id="{F68B13AD-F9DB-4932-FCFA-A6A73276C792}"/>
            </a:ext>
          </a:extLst>
        </xdr:cNvPr>
        <xdr:cNvSpPr txBox="1"/>
      </xdr:nvSpPr>
      <xdr:spPr>
        <a:xfrm>
          <a:off x="0" y="3459480"/>
          <a:ext cx="3627120" cy="1074420"/>
        </a:xfrm>
        <a:prstGeom prst="rect">
          <a:avLst/>
        </a:prstGeom>
        <a:solidFill>
          <a:schemeClr val="lt1"/>
        </a:solidFill>
        <a:ln w="9525" cmpd="sng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Notes / Summary:</a:t>
          </a:r>
        </a:p>
        <a:p>
          <a:r>
            <a:rPr lang="en-IN" sz="1100"/>
            <a:t>- Overall attendance = 60%</a:t>
          </a:r>
        </a:p>
        <a:p>
          <a:r>
            <a:rPr lang="en-IN" sz="1100"/>
            <a:t>- Best Students: A, C, D (100%)</a:t>
          </a:r>
        </a:p>
        <a:p>
          <a:r>
            <a:rPr lang="en-IN" sz="1100"/>
            <a:t>- Worst Students: B, E (0%)</a:t>
          </a:r>
        </a:p>
        <a:p>
          <a:r>
            <a:rPr lang="en-IN" sz="1100"/>
            <a:t>- Suggestion: Check reasons for continuous absenteeism.</a:t>
          </a:r>
        </a:p>
        <a:p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Kiran" refreshedDate="46020.495907407407" createdVersion="8" refreshedVersion="8" minRefreshableVersion="3" recordCount="30" xr:uid="{98D49BA7-6D44-48A7-A656-D77565C31000}">
  <cacheSource type="worksheet">
    <worksheetSource name="Table1"/>
  </cacheSource>
  <cacheFields count="3">
    <cacheField name="Student" numFmtId="0">
      <sharedItems count="5">
        <s v="A"/>
        <s v="B"/>
        <s v="C"/>
        <s v="D"/>
        <s v="E"/>
      </sharedItems>
    </cacheField>
    <cacheField name="Date" numFmtId="14">
      <sharedItems containsSemiMixedTypes="0" containsNonDate="0" containsDate="1" containsString="0" minDate="2024-01-01T00:00:00" maxDate="2024-01-31T00:00:00"/>
    </cacheField>
    <cacheField name="Present" numFmtId="0">
      <sharedItems count="2">
        <s v="P"/>
        <s v="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d v="2024-01-01T00:00:00"/>
    <x v="0"/>
  </r>
  <r>
    <x v="1"/>
    <d v="2024-01-02T00:00:00"/>
    <x v="1"/>
  </r>
  <r>
    <x v="2"/>
    <d v="2024-01-03T00:00:00"/>
    <x v="0"/>
  </r>
  <r>
    <x v="3"/>
    <d v="2024-01-04T00:00:00"/>
    <x v="0"/>
  </r>
  <r>
    <x v="4"/>
    <d v="2024-01-05T00:00:00"/>
    <x v="1"/>
  </r>
  <r>
    <x v="0"/>
    <d v="2024-01-06T00:00:00"/>
    <x v="0"/>
  </r>
  <r>
    <x v="1"/>
    <d v="2024-01-07T00:00:00"/>
    <x v="1"/>
  </r>
  <r>
    <x v="2"/>
    <d v="2024-01-08T00:00:00"/>
    <x v="0"/>
  </r>
  <r>
    <x v="3"/>
    <d v="2024-01-09T00:00:00"/>
    <x v="0"/>
  </r>
  <r>
    <x v="4"/>
    <d v="2024-01-10T00:00:00"/>
    <x v="1"/>
  </r>
  <r>
    <x v="0"/>
    <d v="2024-01-11T00:00:00"/>
    <x v="0"/>
  </r>
  <r>
    <x v="1"/>
    <d v="2024-01-12T00:00:00"/>
    <x v="1"/>
  </r>
  <r>
    <x v="2"/>
    <d v="2024-01-13T00:00:00"/>
    <x v="0"/>
  </r>
  <r>
    <x v="3"/>
    <d v="2024-01-14T00:00:00"/>
    <x v="0"/>
  </r>
  <r>
    <x v="4"/>
    <d v="2024-01-15T00:00:00"/>
    <x v="1"/>
  </r>
  <r>
    <x v="0"/>
    <d v="2024-01-16T00:00:00"/>
    <x v="0"/>
  </r>
  <r>
    <x v="1"/>
    <d v="2024-01-17T00:00:00"/>
    <x v="1"/>
  </r>
  <r>
    <x v="2"/>
    <d v="2024-01-18T00:00:00"/>
    <x v="0"/>
  </r>
  <r>
    <x v="3"/>
    <d v="2024-01-19T00:00:00"/>
    <x v="0"/>
  </r>
  <r>
    <x v="4"/>
    <d v="2024-01-20T00:00:00"/>
    <x v="1"/>
  </r>
  <r>
    <x v="0"/>
    <d v="2024-01-21T00:00:00"/>
    <x v="0"/>
  </r>
  <r>
    <x v="1"/>
    <d v="2024-01-22T00:00:00"/>
    <x v="1"/>
  </r>
  <r>
    <x v="2"/>
    <d v="2024-01-23T00:00:00"/>
    <x v="0"/>
  </r>
  <r>
    <x v="3"/>
    <d v="2024-01-24T00:00:00"/>
    <x v="0"/>
  </r>
  <r>
    <x v="4"/>
    <d v="2024-01-25T00:00:00"/>
    <x v="1"/>
  </r>
  <r>
    <x v="0"/>
    <d v="2024-01-26T00:00:00"/>
    <x v="0"/>
  </r>
  <r>
    <x v="1"/>
    <d v="2024-01-27T00:00:00"/>
    <x v="1"/>
  </r>
  <r>
    <x v="2"/>
    <d v="2024-01-28T00:00:00"/>
    <x v="0"/>
  </r>
  <r>
    <x v="3"/>
    <d v="2024-01-29T00:00:00"/>
    <x v="0"/>
  </r>
  <r>
    <x v="4"/>
    <d v="2024-01-30T00:00: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0C1491-6B89-451A-B2D5-7EFEC98D3E7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10" firstHeaderRow="1" firstDataRow="2" firstDataCol="1"/>
  <pivotFields count="3">
    <pivotField axis="axisRow" showAll="0">
      <items count="6">
        <item x="0"/>
        <item x="1"/>
        <item x="2"/>
        <item x="3"/>
        <item x="4"/>
        <item t="default"/>
      </items>
    </pivotField>
    <pivotField numFmtId="14" showAll="0"/>
    <pivotField axis="axisCol" dataField="1" multipleItemSelectionAllowed="1" showAll="0">
      <items count="3">
        <item x="1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Present" fld="2" subtotal="count" baseField="0" baseItem="0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ECE0DA-1FAB-498C-AE57-79BC0EC9EB9D}" name="Table1" displayName="Table1" ref="A1:C31" totalsRowShown="0" headerRowDxfId="5" headerRowBorderDxfId="6" tableBorderDxfId="7">
  <autoFilter ref="A1:C31" xr:uid="{AAECE0DA-1FAB-498C-AE57-79BC0EC9EB9D}"/>
  <tableColumns count="3">
    <tableColumn id="1" xr3:uid="{35A0ED7C-ED2D-4816-B5D2-5A7E6AC1462B}" name="Student"/>
    <tableColumn id="2" xr3:uid="{7380F305-066F-4C38-A305-4B19969F8F04}" name="Date" dataDxfId="4"/>
    <tableColumn id="3" xr3:uid="{F72B7589-C57F-435C-8E95-56B9AA8A578E}" name="Pres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80D3E-63A7-4AB4-AA31-1C74E1CCD82B}">
  <dimension ref="A3:D10"/>
  <sheetViews>
    <sheetView topLeftCell="A2" workbookViewId="0">
      <selection activeCell="A3" sqref="A3:D10"/>
    </sheetView>
  </sheetViews>
  <sheetFormatPr defaultRowHeight="14.4" x14ac:dyDescent="0.3"/>
  <cols>
    <col min="1" max="1" width="15.21875" bestFit="1" customWidth="1"/>
    <col min="2" max="2" width="15.5546875" bestFit="1" customWidth="1"/>
    <col min="3" max="3" width="7.44140625" customWidth="1"/>
    <col min="4" max="4" width="10.77734375" bestFit="1" customWidth="1"/>
  </cols>
  <sheetData>
    <row r="3" spans="1:4" x14ac:dyDescent="0.3">
      <c r="A3" s="10" t="s">
        <v>16</v>
      </c>
      <c r="B3" s="10" t="s">
        <v>17</v>
      </c>
    </row>
    <row r="4" spans="1:4" x14ac:dyDescent="0.3">
      <c r="A4" s="10" t="s">
        <v>14</v>
      </c>
      <c r="B4" t="s">
        <v>3</v>
      </c>
      <c r="C4" t="s">
        <v>8</v>
      </c>
      <c r="D4" t="s">
        <v>15</v>
      </c>
    </row>
    <row r="5" spans="1:4" x14ac:dyDescent="0.3">
      <c r="A5" s="11" t="s">
        <v>3</v>
      </c>
      <c r="B5" s="12"/>
      <c r="C5" s="12">
        <v>6</v>
      </c>
      <c r="D5" s="12">
        <v>6</v>
      </c>
    </row>
    <row r="6" spans="1:4" x14ac:dyDescent="0.3">
      <c r="A6" s="11" t="s">
        <v>4</v>
      </c>
      <c r="B6" s="12">
        <v>6</v>
      </c>
      <c r="C6" s="12"/>
      <c r="D6" s="12">
        <v>6</v>
      </c>
    </row>
    <row r="7" spans="1:4" x14ac:dyDescent="0.3">
      <c r="A7" s="11" t="s">
        <v>5</v>
      </c>
      <c r="B7" s="12"/>
      <c r="C7" s="12">
        <v>6</v>
      </c>
      <c r="D7" s="12">
        <v>6</v>
      </c>
    </row>
    <row r="8" spans="1:4" x14ac:dyDescent="0.3">
      <c r="A8" s="11" t="s">
        <v>6</v>
      </c>
      <c r="B8" s="12"/>
      <c r="C8" s="12">
        <v>6</v>
      </c>
      <c r="D8" s="12">
        <v>6</v>
      </c>
    </row>
    <row r="9" spans="1:4" x14ac:dyDescent="0.3">
      <c r="A9" s="11" t="s">
        <v>7</v>
      </c>
      <c r="B9" s="12">
        <v>6</v>
      </c>
      <c r="C9" s="12"/>
      <c r="D9" s="12">
        <v>6</v>
      </c>
    </row>
    <row r="10" spans="1:4" x14ac:dyDescent="0.3">
      <c r="A10" s="11" t="s">
        <v>15</v>
      </c>
      <c r="B10" s="12">
        <v>12</v>
      </c>
      <c r="C10" s="12">
        <v>18</v>
      </c>
      <c r="D10" s="1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selection activeCell="F13" sqref="F13"/>
    </sheetView>
  </sheetViews>
  <sheetFormatPr defaultRowHeight="14.4" x14ac:dyDescent="0.3"/>
  <cols>
    <col min="1" max="1" width="12.109375" bestFit="1" customWidth="1"/>
    <col min="2" max="2" width="18.109375" bestFit="1" customWidth="1"/>
    <col min="3" max="3" width="11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5">
        <v>45292</v>
      </c>
      <c r="C2" t="s">
        <v>8</v>
      </c>
    </row>
    <row r="3" spans="1:3" x14ac:dyDescent="0.3">
      <c r="A3" t="s">
        <v>4</v>
      </c>
      <c r="B3" s="5">
        <v>45293</v>
      </c>
      <c r="C3" t="s">
        <v>3</v>
      </c>
    </row>
    <row r="4" spans="1:3" x14ac:dyDescent="0.3">
      <c r="A4" t="s">
        <v>5</v>
      </c>
      <c r="B4" s="5">
        <v>45294</v>
      </c>
      <c r="C4" t="s">
        <v>8</v>
      </c>
    </row>
    <row r="5" spans="1:3" x14ac:dyDescent="0.3">
      <c r="A5" t="s">
        <v>6</v>
      </c>
      <c r="B5" s="5">
        <v>45295</v>
      </c>
      <c r="C5" t="s">
        <v>8</v>
      </c>
    </row>
    <row r="6" spans="1:3" x14ac:dyDescent="0.3">
      <c r="A6" t="s">
        <v>7</v>
      </c>
      <c r="B6" s="5">
        <v>45296</v>
      </c>
      <c r="C6" t="s">
        <v>3</v>
      </c>
    </row>
    <row r="7" spans="1:3" x14ac:dyDescent="0.3">
      <c r="A7" t="s">
        <v>3</v>
      </c>
      <c r="B7" s="5">
        <v>45297</v>
      </c>
      <c r="C7" t="s">
        <v>8</v>
      </c>
    </row>
    <row r="8" spans="1:3" x14ac:dyDescent="0.3">
      <c r="A8" t="s">
        <v>4</v>
      </c>
      <c r="B8" s="5">
        <v>45298</v>
      </c>
      <c r="C8" t="s">
        <v>3</v>
      </c>
    </row>
    <row r="9" spans="1:3" x14ac:dyDescent="0.3">
      <c r="A9" t="s">
        <v>5</v>
      </c>
      <c r="B9" s="5">
        <v>45299</v>
      </c>
      <c r="C9" t="s">
        <v>8</v>
      </c>
    </row>
    <row r="10" spans="1:3" x14ac:dyDescent="0.3">
      <c r="A10" t="s">
        <v>6</v>
      </c>
      <c r="B10" s="5">
        <v>45300</v>
      </c>
      <c r="C10" t="s">
        <v>8</v>
      </c>
    </row>
    <row r="11" spans="1:3" x14ac:dyDescent="0.3">
      <c r="A11" t="s">
        <v>7</v>
      </c>
      <c r="B11" s="5">
        <v>45301</v>
      </c>
      <c r="C11" t="s">
        <v>3</v>
      </c>
    </row>
    <row r="12" spans="1:3" x14ac:dyDescent="0.3">
      <c r="A12" t="s">
        <v>3</v>
      </c>
      <c r="B12" s="5">
        <v>45302</v>
      </c>
      <c r="C12" t="s">
        <v>8</v>
      </c>
    </row>
    <row r="13" spans="1:3" x14ac:dyDescent="0.3">
      <c r="A13" t="s">
        <v>4</v>
      </c>
      <c r="B13" s="5">
        <v>45303</v>
      </c>
      <c r="C13" t="s">
        <v>3</v>
      </c>
    </row>
    <row r="14" spans="1:3" x14ac:dyDescent="0.3">
      <c r="A14" t="s">
        <v>5</v>
      </c>
      <c r="B14" s="5">
        <v>45304</v>
      </c>
      <c r="C14" t="s">
        <v>8</v>
      </c>
    </row>
    <row r="15" spans="1:3" x14ac:dyDescent="0.3">
      <c r="A15" t="s">
        <v>6</v>
      </c>
      <c r="B15" s="5">
        <v>45305</v>
      </c>
      <c r="C15" t="s">
        <v>8</v>
      </c>
    </row>
    <row r="16" spans="1:3" x14ac:dyDescent="0.3">
      <c r="A16" t="s">
        <v>7</v>
      </c>
      <c r="B16" s="5">
        <v>45306</v>
      </c>
      <c r="C16" t="s">
        <v>3</v>
      </c>
    </row>
    <row r="17" spans="1:3" x14ac:dyDescent="0.3">
      <c r="A17" t="s">
        <v>3</v>
      </c>
      <c r="B17" s="5">
        <v>45307</v>
      </c>
      <c r="C17" t="s">
        <v>8</v>
      </c>
    </row>
    <row r="18" spans="1:3" x14ac:dyDescent="0.3">
      <c r="A18" t="s">
        <v>4</v>
      </c>
      <c r="B18" s="5">
        <v>45308</v>
      </c>
      <c r="C18" t="s">
        <v>3</v>
      </c>
    </row>
    <row r="19" spans="1:3" x14ac:dyDescent="0.3">
      <c r="A19" t="s">
        <v>5</v>
      </c>
      <c r="B19" s="5">
        <v>45309</v>
      </c>
      <c r="C19" t="s">
        <v>8</v>
      </c>
    </row>
    <row r="20" spans="1:3" x14ac:dyDescent="0.3">
      <c r="A20" t="s">
        <v>6</v>
      </c>
      <c r="B20" s="5">
        <v>45310</v>
      </c>
      <c r="C20" t="s">
        <v>8</v>
      </c>
    </row>
    <row r="21" spans="1:3" x14ac:dyDescent="0.3">
      <c r="A21" t="s">
        <v>7</v>
      </c>
      <c r="B21" s="5">
        <v>45311</v>
      </c>
      <c r="C21" t="s">
        <v>3</v>
      </c>
    </row>
    <row r="22" spans="1:3" x14ac:dyDescent="0.3">
      <c r="A22" t="s">
        <v>3</v>
      </c>
      <c r="B22" s="5">
        <v>45312</v>
      </c>
      <c r="C22" t="s">
        <v>8</v>
      </c>
    </row>
    <row r="23" spans="1:3" x14ac:dyDescent="0.3">
      <c r="A23" t="s">
        <v>4</v>
      </c>
      <c r="B23" s="5">
        <v>45313</v>
      </c>
      <c r="C23" t="s">
        <v>3</v>
      </c>
    </row>
    <row r="24" spans="1:3" x14ac:dyDescent="0.3">
      <c r="A24" t="s">
        <v>5</v>
      </c>
      <c r="B24" s="5">
        <v>45314</v>
      </c>
      <c r="C24" t="s">
        <v>8</v>
      </c>
    </row>
    <row r="25" spans="1:3" x14ac:dyDescent="0.3">
      <c r="A25" t="s">
        <v>6</v>
      </c>
      <c r="B25" s="5">
        <v>45315</v>
      </c>
      <c r="C25" t="s">
        <v>8</v>
      </c>
    </row>
    <row r="26" spans="1:3" x14ac:dyDescent="0.3">
      <c r="A26" t="s">
        <v>7</v>
      </c>
      <c r="B26" s="5">
        <v>45316</v>
      </c>
      <c r="C26" t="s">
        <v>3</v>
      </c>
    </row>
    <row r="27" spans="1:3" x14ac:dyDescent="0.3">
      <c r="A27" t="s">
        <v>3</v>
      </c>
      <c r="B27" s="5">
        <v>45317</v>
      </c>
      <c r="C27" t="s">
        <v>8</v>
      </c>
    </row>
    <row r="28" spans="1:3" x14ac:dyDescent="0.3">
      <c r="A28" t="s">
        <v>4</v>
      </c>
      <c r="B28" s="5">
        <v>45318</v>
      </c>
      <c r="C28" t="s">
        <v>3</v>
      </c>
    </row>
    <row r="29" spans="1:3" x14ac:dyDescent="0.3">
      <c r="A29" t="s">
        <v>5</v>
      </c>
      <c r="B29" s="5">
        <v>45319</v>
      </c>
      <c r="C29" t="s">
        <v>8</v>
      </c>
    </row>
    <row r="30" spans="1:3" x14ac:dyDescent="0.3">
      <c r="A30" t="s">
        <v>6</v>
      </c>
      <c r="B30" s="5">
        <v>45320</v>
      </c>
      <c r="C30" t="s">
        <v>8</v>
      </c>
    </row>
    <row r="31" spans="1:3" x14ac:dyDescent="0.3">
      <c r="A31" t="s">
        <v>7</v>
      </c>
      <c r="B31" s="5">
        <v>45321</v>
      </c>
      <c r="C31" t="s">
        <v>3</v>
      </c>
    </row>
  </sheetData>
  <conditionalFormatting sqref="C1:C31">
    <cfRule type="containsText" dxfId="3" priority="4" operator="containsText" text="Red+$C$3">
      <formula>NOT(ISERROR(SEARCH("Red+$C$3",C1)))</formula>
    </cfRule>
  </conditionalFormatting>
  <conditionalFormatting sqref="F3">
    <cfRule type="containsText" dxfId="2" priority="3" operator="containsText" text="A">
      <formula>NOT(ISERROR(SEARCH("A",F3)))</formula>
    </cfRule>
  </conditionalFormatting>
  <conditionalFormatting sqref="C2:C31">
    <cfRule type="containsText" dxfId="1" priority="1" operator="containsText" text="P">
      <formula>NOT(ISERROR(SEARCH("P",C2)))</formula>
    </cfRule>
    <cfRule type="containsText" dxfId="0" priority="2" operator="containsText" text="A">
      <formula>NOT(ISERROR(SEARCH("A",C2)))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1AAB-83A6-4EB4-9006-570C6CFCA9EF}">
  <dimension ref="H3:L10"/>
  <sheetViews>
    <sheetView tabSelected="1" workbookViewId="0">
      <selection activeCell="V12" sqref="V12"/>
    </sheetView>
  </sheetViews>
  <sheetFormatPr defaultRowHeight="14.4" x14ac:dyDescent="0.3"/>
  <sheetData>
    <row r="3" spans="8:12" ht="21" customHeight="1" x14ac:dyDescent="0.3">
      <c r="H3" s="13"/>
      <c r="I3" s="13"/>
      <c r="J3" s="13"/>
      <c r="K3" s="13"/>
      <c r="L3" s="13"/>
    </row>
    <row r="10" spans="8:12" ht="57" customHeight="1" x14ac:dyDescent="0.3"/>
  </sheetData>
  <mergeCells count="1">
    <mergeCell ref="H3:L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F1D3-D508-43AC-B6AF-AE801B44A427}">
  <dimension ref="A1:S30"/>
  <sheetViews>
    <sheetView workbookViewId="0">
      <selection activeCell="A3" sqref="A3"/>
    </sheetView>
  </sheetViews>
  <sheetFormatPr defaultRowHeight="14.4" x14ac:dyDescent="0.3"/>
  <cols>
    <col min="1" max="1" width="11.21875" customWidth="1"/>
    <col min="12" max="13" width="8.88671875" customWidth="1"/>
    <col min="14" max="14" width="9.33203125" customWidth="1"/>
    <col min="19" max="19" width="14.44140625" customWidth="1"/>
  </cols>
  <sheetData>
    <row r="1" spans="1:19" x14ac:dyDescent="0.3">
      <c r="A1" t="s">
        <v>9</v>
      </c>
      <c r="B1">
        <f>COUNTA(S1:S30)</f>
        <v>30</v>
      </c>
      <c r="R1" s="2" t="s">
        <v>8</v>
      </c>
      <c r="S1" s="6">
        <v>45292</v>
      </c>
    </row>
    <row r="2" spans="1:19" x14ac:dyDescent="0.3">
      <c r="A2" t="s">
        <v>10</v>
      </c>
      <c r="B2">
        <f>COUNTIF(R1:R30,"P")</f>
        <v>18</v>
      </c>
      <c r="R2" s="3" t="s">
        <v>3</v>
      </c>
      <c r="S2" s="7">
        <v>45293</v>
      </c>
    </row>
    <row r="3" spans="1:19" x14ac:dyDescent="0.3">
      <c r="A3" t="s">
        <v>11</v>
      </c>
      <c r="B3">
        <f>COUNTIF(R1:R30,"A")</f>
        <v>12</v>
      </c>
      <c r="R3" s="2" t="s">
        <v>8</v>
      </c>
      <c r="S3" s="6">
        <v>45294</v>
      </c>
    </row>
    <row r="4" spans="1:19" x14ac:dyDescent="0.3">
      <c r="A4" t="s">
        <v>12</v>
      </c>
      <c r="B4" s="9">
        <f>B2/B1</f>
        <v>0.6</v>
      </c>
      <c r="R4" s="3" t="s">
        <v>8</v>
      </c>
      <c r="S4" s="7">
        <v>45295</v>
      </c>
    </row>
    <row r="5" spans="1:19" x14ac:dyDescent="0.3">
      <c r="A5" t="s">
        <v>13</v>
      </c>
      <c r="B5" t="str">
        <f>IF(B4&gt;=0.75,"GOOD","POOR")</f>
        <v>POOR</v>
      </c>
      <c r="R5" s="2" t="s">
        <v>3</v>
      </c>
      <c r="S5" s="6">
        <v>45296</v>
      </c>
    </row>
    <row r="6" spans="1:19" x14ac:dyDescent="0.3">
      <c r="R6" s="3" t="s">
        <v>8</v>
      </c>
      <c r="S6" s="7">
        <v>45297</v>
      </c>
    </row>
    <row r="7" spans="1:19" x14ac:dyDescent="0.3">
      <c r="R7" s="2" t="s">
        <v>3</v>
      </c>
      <c r="S7" s="6">
        <v>45298</v>
      </c>
    </row>
    <row r="8" spans="1:19" x14ac:dyDescent="0.3">
      <c r="R8" s="3" t="s">
        <v>8</v>
      </c>
      <c r="S8" s="7">
        <v>45299</v>
      </c>
    </row>
    <row r="9" spans="1:19" x14ac:dyDescent="0.3">
      <c r="R9" s="2" t="s">
        <v>8</v>
      </c>
      <c r="S9" s="6">
        <v>45300</v>
      </c>
    </row>
    <row r="10" spans="1:19" x14ac:dyDescent="0.3">
      <c r="R10" s="3" t="s">
        <v>3</v>
      </c>
      <c r="S10" s="7">
        <v>45301</v>
      </c>
    </row>
    <row r="11" spans="1:19" x14ac:dyDescent="0.3">
      <c r="R11" s="2" t="s">
        <v>8</v>
      </c>
      <c r="S11" s="6">
        <v>45302</v>
      </c>
    </row>
    <row r="12" spans="1:19" x14ac:dyDescent="0.3">
      <c r="R12" s="3" t="s">
        <v>3</v>
      </c>
      <c r="S12" s="7">
        <v>45303</v>
      </c>
    </row>
    <row r="13" spans="1:19" x14ac:dyDescent="0.3">
      <c r="R13" s="2" t="s">
        <v>8</v>
      </c>
      <c r="S13" s="6">
        <v>45304</v>
      </c>
    </row>
    <row r="14" spans="1:19" x14ac:dyDescent="0.3">
      <c r="R14" s="3" t="s">
        <v>8</v>
      </c>
      <c r="S14" s="7">
        <v>45305</v>
      </c>
    </row>
    <row r="15" spans="1:19" x14ac:dyDescent="0.3">
      <c r="R15" s="2" t="s">
        <v>3</v>
      </c>
      <c r="S15" s="6">
        <v>45306</v>
      </c>
    </row>
    <row r="16" spans="1:19" x14ac:dyDescent="0.3">
      <c r="R16" s="3" t="s">
        <v>8</v>
      </c>
      <c r="S16" s="7">
        <v>45307</v>
      </c>
    </row>
    <row r="17" spans="18:19" x14ac:dyDescent="0.3">
      <c r="R17" s="2" t="s">
        <v>3</v>
      </c>
      <c r="S17" s="6">
        <v>45308</v>
      </c>
    </row>
    <row r="18" spans="18:19" x14ac:dyDescent="0.3">
      <c r="R18" s="3" t="s">
        <v>8</v>
      </c>
      <c r="S18" s="7">
        <v>45309</v>
      </c>
    </row>
    <row r="19" spans="18:19" x14ac:dyDescent="0.3">
      <c r="R19" s="2" t="s">
        <v>8</v>
      </c>
      <c r="S19" s="6">
        <v>45310</v>
      </c>
    </row>
    <row r="20" spans="18:19" x14ac:dyDescent="0.3">
      <c r="R20" s="3" t="s">
        <v>3</v>
      </c>
      <c r="S20" s="7">
        <v>45311</v>
      </c>
    </row>
    <row r="21" spans="18:19" x14ac:dyDescent="0.3">
      <c r="R21" s="2" t="s">
        <v>8</v>
      </c>
      <c r="S21" s="6">
        <v>45312</v>
      </c>
    </row>
    <row r="22" spans="18:19" x14ac:dyDescent="0.3">
      <c r="R22" s="3" t="s">
        <v>3</v>
      </c>
      <c r="S22" s="7">
        <v>45313</v>
      </c>
    </row>
    <row r="23" spans="18:19" x14ac:dyDescent="0.3">
      <c r="R23" s="2" t="s">
        <v>8</v>
      </c>
      <c r="S23" s="6">
        <v>45314</v>
      </c>
    </row>
    <row r="24" spans="18:19" x14ac:dyDescent="0.3">
      <c r="R24" s="3" t="s">
        <v>8</v>
      </c>
      <c r="S24" s="7">
        <v>45315</v>
      </c>
    </row>
    <row r="25" spans="18:19" x14ac:dyDescent="0.3">
      <c r="R25" s="2" t="s">
        <v>3</v>
      </c>
      <c r="S25" s="6">
        <v>45316</v>
      </c>
    </row>
    <row r="26" spans="18:19" x14ac:dyDescent="0.3">
      <c r="R26" s="3" t="s">
        <v>8</v>
      </c>
      <c r="S26" s="7">
        <v>45317</v>
      </c>
    </row>
    <row r="27" spans="18:19" x14ac:dyDescent="0.3">
      <c r="R27" s="2" t="s">
        <v>3</v>
      </c>
      <c r="S27" s="6">
        <v>45318</v>
      </c>
    </row>
    <row r="28" spans="18:19" x14ac:dyDescent="0.3">
      <c r="R28" s="3" t="s">
        <v>8</v>
      </c>
      <c r="S28" s="7">
        <v>45319</v>
      </c>
    </row>
    <row r="29" spans="18:19" x14ac:dyDescent="0.3">
      <c r="R29" s="2" t="s">
        <v>8</v>
      </c>
      <c r="S29" s="6">
        <v>45320</v>
      </c>
    </row>
    <row r="30" spans="18:19" x14ac:dyDescent="0.3">
      <c r="R30" s="4" t="s">
        <v>3</v>
      </c>
      <c r="S30" s="8">
        <v>45321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Dashboard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Kiran</cp:lastModifiedBy>
  <cp:lastPrinted>2025-12-29T06:42:51Z</cp:lastPrinted>
  <dcterms:created xsi:type="dcterms:W3CDTF">2025-12-29T03:05:27Z</dcterms:created>
  <dcterms:modified xsi:type="dcterms:W3CDTF">2025-12-29T08:11:35Z</dcterms:modified>
</cp:coreProperties>
</file>